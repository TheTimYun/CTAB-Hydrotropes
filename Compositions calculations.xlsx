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.Unusov\Jupyter_notebook\Misc\CTAB hydrotopes\CTAB-Hydrotropes\"/>
    </mc:Choice>
  </mc:AlternateContent>
  <bookViews>
    <workbookView xWindow="0" yWindow="0" windowWidth="28800" windowHeight="12440" activeTab="2"/>
  </bookViews>
  <sheets>
    <sheet name="RandomForestRegressor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" l="1"/>
  <c r="B9" i="3"/>
  <c r="B11" i="3" l="1"/>
  <c r="B28" i="1"/>
</calcChain>
</file>

<file path=xl/sharedStrings.xml><?xml version="1.0" encoding="utf-8"?>
<sst xmlns="http://schemas.openxmlformats.org/spreadsheetml/2006/main" count="33" uniqueCount="26">
  <si>
    <t>CTAB conc</t>
  </si>
  <si>
    <t>EDTA-NA2</t>
  </si>
  <si>
    <t>Urea</t>
  </si>
  <si>
    <t>Метол</t>
  </si>
  <si>
    <t>г/л</t>
  </si>
  <si>
    <t>Methol</t>
  </si>
  <si>
    <t>https://www.ozon.ru/product/oedf-kislota-98-1-kg-1284929044/?_bctx=CAMQuaLGKQ&amp;at=pZtp4GVvXsPz5VYxSv9mgzDS4N9KMlHyZ3yYrIw9REXX</t>
  </si>
  <si>
    <t>https://www.ozon.ru/product/trilon-edta-4na-tetranatrievaya-sol-1-kg-1248836559/?_bctx=CAMQuaLGKQ&amp;at=qQtJYDEzmcjQjyxVcxDZ1XPuLk9ng1tWZ4K8BUxPOrwv</t>
  </si>
  <si>
    <t>Sodium gluconate</t>
  </si>
  <si>
    <t>Sucrose</t>
  </si>
  <si>
    <t xml:space="preserve">C([C@@H]1[C@H]([C@@H]([C@H]([C@H](O1)O[C@]2([C@H]([C@@H]([C@H](O2)CO)O)O)CO)O)O)O)O </t>
  </si>
  <si>
    <t>https://www.ozon.ru/product/taurin-100-gr-1284751118/?at=MZtvBgwREh2AX50juEBO1zBfxnp1pC7E6WVESj7QQGV&amp;from_sku=1284750850&amp;oos_search=false</t>
  </si>
  <si>
    <t>https://www.ozon.ru/product/natriy-dietilditiokarbamat-dietilditiokarbamat-natriya-100-gr-1247383578/?_bctx=CAMQuaLGKQ&amp;at=x6tPEy79rhPj1pmYf2ANglcoMgpkltkQZxrOTA3zOGM</t>
  </si>
  <si>
    <t>https://www.ozon.ru/product/pentaeritrit-tehnicheskiy-1-kg-1574107433/?at=BrtzW1wMEcWp1NQGFmxpwMwF5JOj68F8zvBrPhW4ZL9Q&amp;keywords=%D0%BF%D0%B5%D0%BD%D1%82%D0%B0%D1%8D%D1%80%D0%B8%D1%82%D1%80%D0%B8%D1%82</t>
  </si>
  <si>
    <t>https://www.ozon.ru/product/natriy-eritorbat-izoaskorbat-500-gr-1616592000/?_bctx=CAMQuaLGKQ&amp;at=nRtr9zPKMHp91pvlfklRWjAfZL1VVwC0vYg24IRxrjK0</t>
  </si>
  <si>
    <t>https://www.ozon.ru/product/yablochnaya-kislota-1-kg-1284738378/?_bctx=CAMQuaLGKQ&amp;at=28t05NJkRSEGwxlzcAwVpJ6sBQvy1ATryKXpqioAk53O</t>
  </si>
  <si>
    <t>https://www.ozon.ru/product/natriy-shchavelevokislyy-1-kg-osobo-chistyy-oksalat-1652086429/?at=GRt23mxZ9ujKgWZzUAAVKgRCVOg7POURkAy52t4xYn3G&amp;keywords=%D0%BE%D0%BA%D1%81%D0%B0%D0%BB%D0%B0%D1%82+%D0%BD%D0%B0%D1%82%D1%80%D0%B8%D1%8F</t>
  </si>
  <si>
    <t>CTAB blank solution</t>
  </si>
  <si>
    <t>Additive blank solution</t>
  </si>
  <si>
    <t>Water</t>
  </si>
  <si>
    <t>Desired volume, mL</t>
  </si>
  <si>
    <t>Desired CTAB, mM</t>
  </si>
  <si>
    <t>Desired additive, mM</t>
  </si>
  <si>
    <t>Eosin</t>
  </si>
  <si>
    <t>https://www.ozon.ru/product/natriy-tetrafenilborat-0-01-kg-1767471790/?_bctx=CAQQgN9s&amp;at=OgtE1npPzuEgvK44F6Z0EgXsKQDV30S7wrYK8skwxDPM&amp;hs=1</t>
  </si>
  <si>
    <t>https://www.ozon.ru/seller/areolab-1781632/?miniapp=seller_1781632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</si>
</sst>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/>
    <xf numFmtId="0" fontId="0" fillId="3" borderId="0" xfId="0" applyFill="1"/>
    <xf numFmtId="0" fontId="0" fillId="0" borderId="0" xfId="0" applyFill="1"/>
    <xf numFmtId="0" fontId="2" fillId="0" borderId="0" xfId="0" applyFont="1"/>
    <xf numFmtId="0" fontId="3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zon.ru/product/natriy-eritorbat-izoaskorbat-500-gr-1616592000/?_bctx=CAMQuaLGKQ&amp;at=nRtr9zPKMHp91pvlfklRWjAfZL1VVwC0vYg24IRxrjK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workbookViewId="0">
      <selection activeCell="C12" sqref="C12"/>
    </sheetView>
  </sheetViews>
  <sheetFormatPr defaultRowHeight="14.5" x14ac:dyDescent="0.35"/>
  <cols>
    <col min="25" max="25" width="9.1796875" customWidth="1"/>
  </cols>
  <sheetData>
    <row r="1" spans="1:35" x14ac:dyDescent="0.35">
      <c r="C1" s="8" t="s">
        <v>1</v>
      </c>
      <c r="D1" s="8"/>
      <c r="E1" s="8"/>
      <c r="F1" s="8"/>
      <c r="H1" s="8" t="s">
        <v>2</v>
      </c>
      <c r="I1" s="8"/>
      <c r="J1" s="8"/>
      <c r="K1" s="8"/>
      <c r="M1" s="8" t="s">
        <v>5</v>
      </c>
      <c r="N1" s="8"/>
      <c r="O1" s="8"/>
      <c r="R1" s="8" t="s">
        <v>8</v>
      </c>
      <c r="S1" s="8"/>
      <c r="T1" s="8"/>
      <c r="W1" s="8" t="s">
        <v>9</v>
      </c>
      <c r="X1" s="8"/>
      <c r="Y1" s="8"/>
      <c r="AE1" s="8" t="s">
        <v>23</v>
      </c>
      <c r="AF1" s="8"/>
      <c r="AG1" s="8"/>
      <c r="AH1" s="8"/>
      <c r="AI1" s="8"/>
    </row>
    <row r="2" spans="1:35" x14ac:dyDescent="0.35">
      <c r="C2" s="1"/>
      <c r="D2" s="1"/>
      <c r="E2" s="1"/>
      <c r="F2" s="1"/>
      <c r="H2" s="1"/>
      <c r="I2" s="1"/>
      <c r="J2" s="1"/>
      <c r="K2" s="1"/>
      <c r="M2" s="1"/>
      <c r="N2" s="1"/>
      <c r="O2" s="1"/>
      <c r="R2" s="1"/>
      <c r="S2" s="1"/>
      <c r="T2" s="1"/>
      <c r="W2" s="8" t="s">
        <v>10</v>
      </c>
      <c r="X2" s="8"/>
      <c r="Y2" s="8"/>
    </row>
    <row r="3" spans="1:35" x14ac:dyDescent="0.35">
      <c r="C3">
        <v>30</v>
      </c>
      <c r="D3">
        <v>50</v>
      </c>
      <c r="E3">
        <v>70</v>
      </c>
      <c r="F3">
        <v>90</v>
      </c>
      <c r="H3">
        <v>30</v>
      </c>
      <c r="I3">
        <v>50</v>
      </c>
      <c r="J3">
        <v>70</v>
      </c>
      <c r="K3">
        <v>90</v>
      </c>
      <c r="M3">
        <v>30</v>
      </c>
      <c r="N3">
        <v>50</v>
      </c>
      <c r="O3">
        <v>70</v>
      </c>
      <c r="P3">
        <v>90</v>
      </c>
      <c r="R3">
        <v>30</v>
      </c>
      <c r="S3">
        <v>50</v>
      </c>
      <c r="T3">
        <v>70</v>
      </c>
      <c r="U3">
        <v>90</v>
      </c>
      <c r="W3" s="2">
        <v>30</v>
      </c>
      <c r="X3" s="2">
        <v>50</v>
      </c>
      <c r="Y3" s="2">
        <v>70</v>
      </c>
      <c r="Z3" s="2">
        <v>90</v>
      </c>
      <c r="AA3" s="2">
        <v>110</v>
      </c>
      <c r="AB3" s="2">
        <v>150</v>
      </c>
      <c r="AC3" s="2">
        <v>190</v>
      </c>
      <c r="AE3">
        <v>50</v>
      </c>
      <c r="AF3">
        <v>150</v>
      </c>
      <c r="AG3">
        <v>250</v>
      </c>
      <c r="AH3">
        <v>350</v>
      </c>
    </row>
    <row r="4" spans="1:35" x14ac:dyDescent="0.35">
      <c r="A4" s="8" t="s">
        <v>0</v>
      </c>
      <c r="B4">
        <v>50</v>
      </c>
      <c r="C4">
        <v>1</v>
      </c>
      <c r="D4">
        <v>1</v>
      </c>
      <c r="E4">
        <v>1</v>
      </c>
      <c r="F4">
        <v>1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R4">
        <v>1</v>
      </c>
      <c r="S4">
        <v>1</v>
      </c>
      <c r="T4">
        <v>1</v>
      </c>
      <c r="U4">
        <v>1</v>
      </c>
      <c r="W4">
        <v>1</v>
      </c>
      <c r="X4">
        <v>1</v>
      </c>
      <c r="Y4">
        <v>1</v>
      </c>
      <c r="Z4">
        <v>1</v>
      </c>
    </row>
    <row r="5" spans="1:35" x14ac:dyDescent="0.35">
      <c r="A5" s="8"/>
      <c r="B5">
        <v>100</v>
      </c>
      <c r="C5">
        <v>1</v>
      </c>
      <c r="D5">
        <v>1</v>
      </c>
      <c r="E5">
        <v>1</v>
      </c>
      <c r="F5">
        <v>1</v>
      </c>
      <c r="H5">
        <v>0</v>
      </c>
      <c r="I5">
        <v>0</v>
      </c>
      <c r="J5">
        <v>0</v>
      </c>
      <c r="K5">
        <v>0</v>
      </c>
      <c r="M5">
        <v>1</v>
      </c>
      <c r="N5">
        <v>1</v>
      </c>
      <c r="O5">
        <v>1</v>
      </c>
      <c r="P5">
        <v>1</v>
      </c>
      <c r="R5">
        <v>1</v>
      </c>
      <c r="S5">
        <v>1</v>
      </c>
      <c r="T5">
        <v>1</v>
      </c>
      <c r="U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E5">
        <v>1</v>
      </c>
      <c r="AF5">
        <v>1</v>
      </c>
      <c r="AG5">
        <v>1</v>
      </c>
      <c r="AH5">
        <v>1</v>
      </c>
    </row>
    <row r="6" spans="1:35" x14ac:dyDescent="0.35">
      <c r="A6" s="8"/>
      <c r="B6">
        <v>200</v>
      </c>
      <c r="C6">
        <v>1</v>
      </c>
      <c r="D6">
        <v>1</v>
      </c>
      <c r="E6">
        <v>1</v>
      </c>
      <c r="F6">
        <v>1</v>
      </c>
      <c r="H6">
        <v>0</v>
      </c>
      <c r="I6">
        <v>0</v>
      </c>
      <c r="J6">
        <v>0</v>
      </c>
      <c r="K6">
        <v>0</v>
      </c>
      <c r="M6">
        <v>0</v>
      </c>
      <c r="N6">
        <v>1</v>
      </c>
      <c r="O6">
        <v>1</v>
      </c>
      <c r="P6">
        <v>1</v>
      </c>
      <c r="R6">
        <v>1</v>
      </c>
      <c r="S6">
        <v>1</v>
      </c>
      <c r="T6">
        <v>1</v>
      </c>
      <c r="U6">
        <v>1</v>
      </c>
      <c r="W6">
        <v>1</v>
      </c>
      <c r="X6">
        <v>1</v>
      </c>
      <c r="Y6">
        <v>1</v>
      </c>
      <c r="Z6">
        <v>1</v>
      </c>
    </row>
    <row r="7" spans="1:35" x14ac:dyDescent="0.35">
      <c r="A7" s="2"/>
    </row>
    <row r="9" spans="1:35" x14ac:dyDescent="0.35">
      <c r="C9" s="8" t="s">
        <v>1</v>
      </c>
      <c r="D9" s="8"/>
      <c r="E9" s="8"/>
      <c r="F9" s="8"/>
    </row>
    <row r="10" spans="1:35" x14ac:dyDescent="0.35">
      <c r="C10">
        <v>30</v>
      </c>
      <c r="D10">
        <v>50</v>
      </c>
      <c r="E10">
        <v>70</v>
      </c>
      <c r="F10">
        <v>90</v>
      </c>
    </row>
    <row r="11" spans="1:35" x14ac:dyDescent="0.35">
      <c r="A11" s="8" t="s">
        <v>0</v>
      </c>
      <c r="B11">
        <v>50</v>
      </c>
      <c r="C11" s="5">
        <v>0.69</v>
      </c>
      <c r="D11" s="5">
        <v>0.68</v>
      </c>
      <c r="E11" s="5">
        <v>0.68</v>
      </c>
      <c r="F11" s="5">
        <v>0.68</v>
      </c>
      <c r="H11">
        <v>0.2</v>
      </c>
      <c r="I11">
        <v>0.21</v>
      </c>
      <c r="J11">
        <v>0.21</v>
      </c>
      <c r="K11">
        <v>0.21</v>
      </c>
      <c r="M11">
        <v>0.35</v>
      </c>
      <c r="N11">
        <v>0.39</v>
      </c>
      <c r="O11">
        <v>0.37</v>
      </c>
      <c r="P11">
        <v>0.37</v>
      </c>
      <c r="R11">
        <v>0.57999999999999996</v>
      </c>
      <c r="S11">
        <v>0.61</v>
      </c>
      <c r="T11">
        <v>0.61</v>
      </c>
      <c r="U11">
        <v>0.61</v>
      </c>
      <c r="W11">
        <v>0.57999999999999996</v>
      </c>
      <c r="X11">
        <v>0.57999999999999996</v>
      </c>
      <c r="Y11">
        <v>0.57999999999999996</v>
      </c>
      <c r="Z11">
        <v>0.57999999999999996</v>
      </c>
    </row>
    <row r="12" spans="1:35" x14ac:dyDescent="0.35">
      <c r="A12" s="8"/>
      <c r="B12">
        <v>100</v>
      </c>
      <c r="C12" s="4">
        <v>0.77</v>
      </c>
      <c r="D12" s="4">
        <v>0.77</v>
      </c>
      <c r="E12" s="4">
        <v>0.77</v>
      </c>
      <c r="F12" s="4">
        <v>0.77</v>
      </c>
      <c r="H12">
        <v>0.31</v>
      </c>
      <c r="I12">
        <v>0.31</v>
      </c>
      <c r="J12">
        <v>0.31</v>
      </c>
      <c r="K12">
        <v>0.31</v>
      </c>
      <c r="M12">
        <v>0.52</v>
      </c>
      <c r="N12">
        <v>0.63</v>
      </c>
      <c r="O12">
        <v>0.67</v>
      </c>
      <c r="P12">
        <v>0.67</v>
      </c>
      <c r="R12">
        <v>0.74</v>
      </c>
      <c r="S12">
        <v>0.78</v>
      </c>
      <c r="T12">
        <v>0.79</v>
      </c>
      <c r="U12">
        <v>0.79</v>
      </c>
      <c r="W12" s="3">
        <v>0.72</v>
      </c>
      <c r="X12" s="3">
        <v>0.72</v>
      </c>
      <c r="Y12" s="3">
        <v>0.72</v>
      </c>
      <c r="Z12" s="3">
        <v>0.73</v>
      </c>
      <c r="AA12" s="4">
        <v>0.73</v>
      </c>
      <c r="AB12" s="4">
        <v>0.73</v>
      </c>
      <c r="AC12" s="4">
        <v>0.73</v>
      </c>
      <c r="AE12" s="4">
        <v>0.625</v>
      </c>
      <c r="AF12" s="4">
        <v>0.625</v>
      </c>
      <c r="AG12" s="4">
        <v>0.625</v>
      </c>
      <c r="AH12" s="4">
        <v>0.625</v>
      </c>
    </row>
    <row r="13" spans="1:35" x14ac:dyDescent="0.35">
      <c r="A13" s="8"/>
      <c r="B13">
        <v>200</v>
      </c>
      <c r="C13">
        <v>0.72</v>
      </c>
      <c r="D13">
        <v>0.76</v>
      </c>
      <c r="E13">
        <v>0.76</v>
      </c>
      <c r="F13">
        <v>0.78</v>
      </c>
      <c r="H13">
        <v>0.23</v>
      </c>
      <c r="I13">
        <v>0.26</v>
      </c>
      <c r="J13">
        <v>0.28999999999999998</v>
      </c>
      <c r="K13">
        <v>0.31</v>
      </c>
      <c r="M13">
        <v>0.31</v>
      </c>
      <c r="N13">
        <v>0.5</v>
      </c>
      <c r="O13">
        <v>0.62</v>
      </c>
      <c r="P13">
        <v>0.66</v>
      </c>
      <c r="R13">
        <v>0.66</v>
      </c>
      <c r="S13">
        <v>0.78</v>
      </c>
      <c r="T13">
        <v>0.79</v>
      </c>
      <c r="U13">
        <v>0.79</v>
      </c>
      <c r="W13">
        <v>0.67</v>
      </c>
      <c r="X13">
        <v>0.72</v>
      </c>
      <c r="Y13">
        <v>0.71</v>
      </c>
      <c r="Z13">
        <v>0.72</v>
      </c>
    </row>
    <row r="17" spans="1:34" x14ac:dyDescent="0.35">
      <c r="C17" s="8" t="s">
        <v>1</v>
      </c>
      <c r="D17" s="8"/>
      <c r="E17" s="8"/>
      <c r="F17" s="8"/>
    </row>
    <row r="18" spans="1:34" x14ac:dyDescent="0.35">
      <c r="C18">
        <v>30</v>
      </c>
      <c r="D18">
        <v>50</v>
      </c>
      <c r="E18">
        <v>70</v>
      </c>
      <c r="F18">
        <v>90</v>
      </c>
      <c r="H18">
        <v>30</v>
      </c>
      <c r="I18">
        <v>50</v>
      </c>
      <c r="J18">
        <v>70</v>
      </c>
      <c r="K18">
        <v>90</v>
      </c>
      <c r="M18">
        <v>30</v>
      </c>
      <c r="N18">
        <v>50</v>
      </c>
      <c r="O18">
        <v>70</v>
      </c>
      <c r="P18">
        <v>90</v>
      </c>
      <c r="R18">
        <v>30</v>
      </c>
      <c r="S18">
        <v>50</v>
      </c>
      <c r="T18">
        <v>70</v>
      </c>
      <c r="U18">
        <v>90</v>
      </c>
      <c r="W18">
        <v>30</v>
      </c>
      <c r="X18">
        <v>50</v>
      </c>
      <c r="Y18">
        <v>70</v>
      </c>
      <c r="Z18">
        <v>90</v>
      </c>
    </row>
    <row r="19" spans="1:34" x14ac:dyDescent="0.35">
      <c r="A19" s="8" t="s">
        <v>0</v>
      </c>
      <c r="B19">
        <v>50</v>
      </c>
      <c r="C19">
        <v>1526</v>
      </c>
      <c r="D19">
        <v>277</v>
      </c>
      <c r="E19">
        <v>277</v>
      </c>
      <c r="F19">
        <v>206</v>
      </c>
      <c r="H19">
        <v>5</v>
      </c>
      <c r="I19">
        <v>5</v>
      </c>
      <c r="J19">
        <v>5</v>
      </c>
      <c r="K19">
        <v>5</v>
      </c>
      <c r="M19">
        <v>54</v>
      </c>
      <c r="N19">
        <v>39</v>
      </c>
      <c r="O19">
        <v>39</v>
      </c>
      <c r="P19">
        <v>29</v>
      </c>
      <c r="R19">
        <v>156</v>
      </c>
      <c r="S19">
        <v>45</v>
      </c>
      <c r="T19">
        <v>45</v>
      </c>
      <c r="U19">
        <v>38</v>
      </c>
      <c r="W19">
        <v>359</v>
      </c>
      <c r="X19">
        <v>65</v>
      </c>
      <c r="Y19">
        <v>65</v>
      </c>
      <c r="Z19">
        <v>48</v>
      </c>
    </row>
    <row r="20" spans="1:34" x14ac:dyDescent="0.35">
      <c r="A20" s="8"/>
      <c r="B20">
        <v>100</v>
      </c>
      <c r="C20">
        <v>2027</v>
      </c>
      <c r="D20">
        <v>2589</v>
      </c>
      <c r="E20">
        <v>1901</v>
      </c>
      <c r="F20">
        <v>1686</v>
      </c>
      <c r="H20">
        <v>8.93</v>
      </c>
      <c r="I20">
        <v>27.69</v>
      </c>
      <c r="J20">
        <v>27.69</v>
      </c>
      <c r="K20">
        <v>27.69</v>
      </c>
      <c r="M20">
        <v>97</v>
      </c>
      <c r="N20">
        <v>457</v>
      </c>
      <c r="O20">
        <v>457</v>
      </c>
      <c r="P20">
        <v>406</v>
      </c>
      <c r="R20">
        <v>195</v>
      </c>
      <c r="S20">
        <v>1012</v>
      </c>
      <c r="T20">
        <v>746</v>
      </c>
      <c r="U20">
        <v>746</v>
      </c>
      <c r="W20">
        <v>1867</v>
      </c>
      <c r="X20">
        <v>2376</v>
      </c>
      <c r="Y20">
        <v>1751</v>
      </c>
      <c r="Z20">
        <v>1553</v>
      </c>
      <c r="AA20">
        <v>261</v>
      </c>
      <c r="AB20">
        <v>261</v>
      </c>
      <c r="AC20">
        <v>261</v>
      </c>
      <c r="AE20">
        <v>3266</v>
      </c>
      <c r="AF20">
        <v>260</v>
      </c>
      <c r="AG20">
        <v>260</v>
      </c>
      <c r="AH20">
        <v>260</v>
      </c>
    </row>
    <row r="21" spans="1:34" x14ac:dyDescent="0.35">
      <c r="A21" s="8"/>
      <c r="B21">
        <v>200</v>
      </c>
      <c r="C21">
        <v>506</v>
      </c>
      <c r="D21">
        <v>1555</v>
      </c>
      <c r="E21">
        <v>2580</v>
      </c>
      <c r="F21">
        <v>2288</v>
      </c>
      <c r="H21">
        <v>3.17</v>
      </c>
      <c r="I21">
        <v>7.1</v>
      </c>
      <c r="J21">
        <v>19.690000000000001</v>
      </c>
      <c r="K21">
        <v>19.690000000000001</v>
      </c>
      <c r="M21">
        <v>18</v>
      </c>
      <c r="N21">
        <v>107</v>
      </c>
      <c r="O21">
        <v>457</v>
      </c>
      <c r="P21">
        <v>406</v>
      </c>
      <c r="R21">
        <v>46</v>
      </c>
      <c r="S21">
        <v>94</v>
      </c>
      <c r="T21">
        <v>364</v>
      </c>
      <c r="U21">
        <v>364</v>
      </c>
      <c r="W21">
        <v>425</v>
      </c>
      <c r="X21">
        <v>1432</v>
      </c>
      <c r="Y21">
        <v>2376</v>
      </c>
      <c r="Z21">
        <v>2108</v>
      </c>
    </row>
    <row r="27" spans="1:34" x14ac:dyDescent="0.35">
      <c r="A27" t="s">
        <v>3</v>
      </c>
      <c r="B27">
        <v>50</v>
      </c>
      <c r="C27" t="s">
        <v>4</v>
      </c>
    </row>
    <row r="28" spans="1:34" x14ac:dyDescent="0.35">
      <c r="B28">
        <f>B27/344</f>
        <v>0.14534883720930233</v>
      </c>
    </row>
  </sheetData>
  <mergeCells count="12">
    <mergeCell ref="AE1:AI1"/>
    <mergeCell ref="A19:A21"/>
    <mergeCell ref="H1:K1"/>
    <mergeCell ref="M1:O1"/>
    <mergeCell ref="R1:T1"/>
    <mergeCell ref="W1:Y1"/>
    <mergeCell ref="W2:Y2"/>
    <mergeCell ref="A4:A6"/>
    <mergeCell ref="C1:F1"/>
    <mergeCell ref="C9:F9"/>
    <mergeCell ref="A11:A13"/>
    <mergeCell ref="C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13</v>
      </c>
    </row>
    <row r="4" spans="1:1" x14ac:dyDescent="0.35">
      <c r="A4" s="6" t="s">
        <v>11</v>
      </c>
    </row>
    <row r="5" spans="1:1" x14ac:dyDescent="0.35">
      <c r="A5" t="s">
        <v>12</v>
      </c>
    </row>
    <row r="6" spans="1:1" x14ac:dyDescent="0.35">
      <c r="A6" s="7" t="s">
        <v>14</v>
      </c>
    </row>
    <row r="7" spans="1:1" x14ac:dyDescent="0.35">
      <c r="A7" t="s">
        <v>15</v>
      </c>
    </row>
    <row r="8" spans="1:1" x14ac:dyDescent="0.35">
      <c r="A8" s="6" t="s">
        <v>16</v>
      </c>
    </row>
    <row r="10" spans="1:1" x14ac:dyDescent="0.35">
      <c r="A10" t="s">
        <v>25</v>
      </c>
    </row>
    <row r="11" spans="1:1" x14ac:dyDescent="0.35">
      <c r="A11" t="s">
        <v>24</v>
      </c>
    </row>
  </sheetData>
  <hyperlinks>
    <hyperlink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6" sqref="B6"/>
    </sheetView>
  </sheetViews>
  <sheetFormatPr defaultRowHeight="14.5" x14ac:dyDescent="0.35"/>
  <cols>
    <col min="1" max="1" width="26.7265625" customWidth="1"/>
  </cols>
  <sheetData>
    <row r="1" spans="1:2" x14ac:dyDescent="0.35">
      <c r="A1" t="s">
        <v>17</v>
      </c>
      <c r="B1">
        <v>200</v>
      </c>
    </row>
    <row r="2" spans="1:2" x14ac:dyDescent="0.35">
      <c r="A2" t="s">
        <v>18</v>
      </c>
      <c r="B2">
        <v>250</v>
      </c>
    </row>
    <row r="3" spans="1:2" x14ac:dyDescent="0.35">
      <c r="A3" t="s">
        <v>19</v>
      </c>
    </row>
    <row r="5" spans="1:2" x14ac:dyDescent="0.35">
      <c r="A5" t="s">
        <v>21</v>
      </c>
      <c r="B5">
        <v>10</v>
      </c>
    </row>
    <row r="6" spans="1:2" x14ac:dyDescent="0.35">
      <c r="A6" t="s">
        <v>22</v>
      </c>
      <c r="B6">
        <v>40</v>
      </c>
    </row>
    <row r="7" spans="1:2" x14ac:dyDescent="0.35">
      <c r="A7" t="s">
        <v>20</v>
      </c>
      <c r="B7">
        <v>10</v>
      </c>
    </row>
    <row r="9" spans="1:2" x14ac:dyDescent="0.35">
      <c r="A9" t="s">
        <v>17</v>
      </c>
      <c r="B9">
        <f>1000*((B7/1000)*B5)/B1</f>
        <v>0.5</v>
      </c>
    </row>
    <row r="10" spans="1:2" x14ac:dyDescent="0.35">
      <c r="A10" t="s">
        <v>18</v>
      </c>
      <c r="B10">
        <f>1000*((B7/1000)*B6)/B2</f>
        <v>1.6</v>
      </c>
    </row>
    <row r="11" spans="1:2" x14ac:dyDescent="0.35">
      <c r="A11" t="s">
        <v>19</v>
      </c>
      <c r="B11">
        <f>B7-B9-B10</f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RandomForestRegressor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Timur Unusov</cp:lastModifiedBy>
  <dcterms:created xsi:type="dcterms:W3CDTF">2025-04-14T16:39:27Z</dcterms:created>
  <dcterms:modified xsi:type="dcterms:W3CDTF">2026-07-21T14:12:54Z</dcterms:modified>
</cp:coreProperties>
</file>